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stants" sheetId="2" state="visible" r:id="rId4"/>
    <sheet name="Recipes" sheetId="3" state="visible" r:id="rId5"/>
    <sheet name="Extraction P&amp;L" sheetId="4" state="visible" r:id="rId6"/>
    <sheet name="Processing P&amp;L" sheetId="5" state="visible" r:id="rId7"/>
    <sheet name="Market price ba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<sst xmlns="http://schemas.openxmlformats.org/spreadsheetml/2006/main" count="138" uniqueCount="111">
  <si>
    <t xml:space="preserve">Project Io — Economy Tuning Model</t>
  </si>
  <si>
    <t xml:space="preserve">Interactive model of the Layer 3 economy: extraction &amp; processing profitability and market-clearing price resolution. Change the blue cells to explore tunings; every black cell recalculates.</t>
  </si>
  <si>
    <t xml:space="preserve">Colour legend</t>
  </si>
  <si>
    <t xml:space="preserve">Blue text</t>
  </si>
  <si>
    <t xml:space="preserve">Inputs / assumptions you change</t>
  </si>
  <si>
    <t xml:space="preserve">Black text</t>
  </si>
  <si>
    <t xml:space="preserve">Formulas (do not edit)</t>
  </si>
  <si>
    <t xml:space="preserve">Green text</t>
  </si>
  <si>
    <t xml:space="preserve">Links pulling from the Constants sheet</t>
  </si>
  <si>
    <t xml:space="preserve">Tabs</t>
  </si>
  <si>
    <t xml:space="preserve">Constants</t>
  </si>
  <si>
    <t xml:space="preserve">Base prices, building economics, thresholds, price-band parameters. The single source of truth.</t>
  </si>
  <si>
    <t xml:space="preserve">Recipes</t>
  </si>
  <si>
    <t xml:space="preserve">The three Layer 3 processing recipes and their per-unit value-add.</t>
  </si>
  <si>
    <t xml:space="preserve">Extraction P&amp;L</t>
  </si>
  <si>
    <t xml:space="preserve">Per-tick profit of an extraction site by resource — richness, workforce, hazard.</t>
  </si>
  <si>
    <t xml:space="preserve">Processing P&amp;L</t>
  </si>
  <si>
    <t xml:space="preserve">Per-tick profit of a processing facility by recipe — workforce, input/output prices.</t>
  </si>
  <si>
    <t xml:space="preserve">Market price band</t>
  </si>
  <si>
    <t xml:space="preserve">Supply/demand → resolved price, using the in-engine sqrt model and clamp.</t>
  </si>
  <si>
    <t xml:space="preserve">Source: docs/economy/RESOURCES.md &amp; PRODUCTION.md; scripts/recipes.lua &amp; economy.lua; src/world/hard_coded_world.cpp (base prices); src/world/market_clearing.cpp (price band). As of v0.0.4, 2026-06-15.</t>
  </si>
  <si>
    <t xml:space="preserve">Edit blue cells to re-tune. Other sheets reference these.</t>
  </si>
  <si>
    <t xml:space="preserve">Resource</t>
  </si>
  <si>
    <t xml:space="preserve">Tier</t>
  </si>
  <si>
    <t xml:space="preserve">Base price ($/unit)</t>
  </si>
  <si>
    <t xml:space="preserve">Extraction building</t>
  </si>
  <si>
    <t xml:space="preserve">iron_ore</t>
  </si>
  <si>
    <t xml:space="preserve">Mine</t>
  </si>
  <si>
    <t xml:space="preserve">petroleum</t>
  </si>
  <si>
    <t xml:space="preserve">Oil Platform</t>
  </si>
  <si>
    <t xml:space="preserve">water</t>
  </si>
  <si>
    <t xml:space="preserve">Ice Extractor</t>
  </si>
  <si>
    <t xml:space="preserve">agricultural_produce</t>
  </si>
  <si>
    <t xml:space="preserve">Farm</t>
  </si>
  <si>
    <t xml:space="preserve">steel</t>
  </si>
  <si>
    <t xml:space="preserve">(Smelter)</t>
  </si>
  <si>
    <t xml:space="preserve">refined_fuel</t>
  </si>
  <si>
    <t xml:space="preserve">(Refinery)</t>
  </si>
  <si>
    <t xml:space="preserve">food_rations</t>
  </si>
  <si>
    <t xml:space="preserve">(Food Processor)</t>
  </si>
  <si>
    <t xml:space="preserve">Building economics (per tick unless noted)</t>
  </si>
  <si>
    <t xml:space="preserve">Building type</t>
  </si>
  <si>
    <t xml:space="preserve">base_rate</t>
  </si>
  <si>
    <t xml:space="preserve">maintenance ($)</t>
  </si>
  <si>
    <t xml:space="preserve">base_wage ($)</t>
  </si>
  <si>
    <t xml:space="preserve">build_cost ($)</t>
  </si>
  <si>
    <t xml:space="preserve">extraction_site</t>
  </si>
  <si>
    <t xml:space="preserve">base_rate: extraction = units/tick at richness 1, workforce 1; processing = batches/tick at workforce 1</t>
  </si>
  <si>
    <t xml:space="preserve">processing_facility</t>
  </si>
  <si>
    <t xml:space="preserve">port</t>
  </si>
  <si>
    <t xml:space="preserve">Thresholds &amp; price band</t>
  </si>
  <si>
    <t xml:space="preserve">Parameter</t>
  </si>
  <si>
    <t xml:space="preserve">Value</t>
  </si>
  <si>
    <t xml:space="preserve">Note</t>
  </si>
  <si>
    <t xml:space="preserve">t_full</t>
  </si>
  <si>
    <t xml:space="preserve">pool coverage &gt;= this -&gt; run full from pool</t>
  </si>
  <si>
    <t xml:space="preserve">t_idle</t>
  </si>
  <si>
    <t xml:space="preserve">coverage below this -&gt; building idles</t>
  </si>
  <si>
    <t xml:space="preserve">price_floor_mult</t>
  </si>
  <si>
    <t xml:space="preserve">lowest price = this x base</t>
  </si>
  <si>
    <t xml:space="preserve">price_ceil_mult</t>
  </si>
  <si>
    <t xml:space="preserve">highest price = this x base</t>
  </si>
  <si>
    <t xml:space="preserve">price_smoothing</t>
  </si>
  <si>
    <t xml:space="preserve">EMA factor toward tick target (not modelled per-tick here)</t>
  </si>
  <si>
    <t xml:space="preserve">Processing recipes</t>
  </si>
  <si>
    <t xml:space="preserve">Per-batch conversion (recipes.lua). Value-add = output value minus input value, per batch.</t>
  </si>
  <si>
    <t xml:space="preserve">Recipe (id)</t>
  </si>
  <si>
    <t xml:space="preserve">Input</t>
  </si>
  <si>
    <t xml:space="preserve">In qty</t>
  </si>
  <si>
    <t xml:space="preserve">Output</t>
  </si>
  <si>
    <t xml:space="preserve">Out qty</t>
  </si>
  <si>
    <t xml:space="preserve">Input $/u</t>
  </si>
  <si>
    <t xml:space="preserve">Output $/u</t>
  </si>
  <si>
    <t xml:space="preserve">Input value</t>
  </si>
  <si>
    <t xml:space="preserve">Output value</t>
  </si>
  <si>
    <t xml:space="preserve">Value-add / batch</t>
  </si>
  <si>
    <t xml:space="preserve">Value-add ratio</t>
  </si>
  <si>
    <t xml:space="preserve">steel (0)</t>
  </si>
  <si>
    <t xml:space="preserve">refined_fuel (1)</t>
  </si>
  <si>
    <t xml:space="preserve">food_rations (2)</t>
  </si>
  <si>
    <t xml:space="preserve">Extraction P&amp;L (per tick)</t>
  </si>
  <si>
    <t xml:space="preserve">output = base_rate x richness x workforce x (1 - hazard).  Change richness / workforce / hazard (blue).</t>
  </si>
  <si>
    <t xml:space="preserve">Richness</t>
  </si>
  <si>
    <t xml:space="preserve">Workforce</t>
  </si>
  <si>
    <t xml:space="preserve">Hazard</t>
  </si>
  <si>
    <t xml:space="preserve">Price $/u</t>
  </si>
  <si>
    <t xml:space="preserve">Output/tick</t>
  </si>
  <si>
    <t xml:space="preserve">Revenue</t>
  </si>
  <si>
    <t xml:space="preserve">Wage</t>
  </si>
  <si>
    <t xml:space="preserve">Maintenance</t>
  </si>
  <si>
    <t xml:space="preserve">Net / tick</t>
  </si>
  <si>
    <t xml:space="preserve">Payback (ticks)</t>
  </si>
  <si>
    <t xml:space="preserve">Processing P&amp;L (per tick)</t>
  </si>
  <si>
    <t xml:space="preserve">batches = base_rate x workforce.  Inputs auto-bought at market price if not self-supplied.  Change workforce (blue); prices link to Constants.</t>
  </si>
  <si>
    <t xml:space="preserve">Recipe</t>
  </si>
  <si>
    <t xml:space="preserve">Batches</t>
  </si>
  <si>
    <t xml:space="preserve">In $/u</t>
  </si>
  <si>
    <t xml:space="preserve">Out $/u</t>
  </si>
  <si>
    <t xml:space="preserve">Input cost</t>
  </si>
  <si>
    <t xml:space="preserve">Note: input cost assumes 100% auto-buy at market. If the recipe's raw input is self-supplied from your own extraction, treat input cost as 0 and read net as gross margin before logistics.</t>
  </si>
  <si>
    <t xml:space="preserve">Market price resolution</t>
  </si>
  <si>
    <t xml:space="preserve">Engine model: target = base x sqrt(demand/supply), clamped to [floor x base, ceil x base]. Demand with zero supply pins to the ceiling. Change supply/demand (blue).</t>
  </si>
  <si>
    <t xml:space="preserve">Base $</t>
  </si>
  <si>
    <t xml:space="preserve">Supply</t>
  </si>
  <si>
    <t xml:space="preserve">Demand</t>
  </si>
  <si>
    <t xml:space="preserve">D/S ratio</t>
  </si>
  <si>
    <t xml:space="preserve">Raw target</t>
  </si>
  <si>
    <t xml:space="preserve">Floor</t>
  </si>
  <si>
    <t xml:space="preserve">Ceiling</t>
  </si>
  <si>
    <t xml:space="preserve">Resolved price</t>
  </si>
  <si>
    <t xml:space="preserve">x base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</si>
</sst>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#,##0.00;\(#,##0.00\);\-"/>
    <numFmt numFmtId="167" formatCode="0.00\x"/>
    <numFmt numFmtId="168" formatCode="0.0%"/>
    <numFmt numFmtId="169" formatCode="#,##0.0;;\-"/>
    <numFmt numFmtId="170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7" customFormat="false" ht="15" hidden="false" customHeight="false" outlineLevel="0" collapsed="false">
      <c r="A7" s="3" t="s">
        <v>2</v>
      </c>
    </row>
    <row r="8" customFormat="false" ht="15" hidden="false" customHeight="false" outlineLevel="0" collapsed="false">
      <c r="A8" s="4" t="s">
        <v>3</v>
      </c>
      <c r="B8" s="5" t="s">
        <v>4</v>
      </c>
    </row>
    <row r="9" customFormat="false" ht="15" hidden="false" customHeight="false" outlineLevel="0" collapsed="false">
      <c r="A9" s="6" t="s">
        <v>5</v>
      </c>
      <c r="B9" s="5" t="s">
        <v>6</v>
      </c>
    </row>
    <row r="10" customFormat="false" ht="15" hidden="false" customHeight="false" outlineLevel="0" collapsed="false">
      <c r="A10" s="7" t="s">
        <v>7</v>
      </c>
      <c r="B10" s="5" t="s">
        <v>8</v>
      </c>
    </row>
    <row r="12" customFormat="false" ht="15" hidden="false" customHeight="false" outlineLevel="0" collapsed="false">
      <c r="A12" s="3" t="s">
        <v>9</v>
      </c>
    </row>
    <row r="13" customFormat="false" ht="26.85" hidden="false" customHeight="false" outlineLevel="0" collapsed="false">
      <c r="A13" s="8" t="s">
        <v>10</v>
      </c>
      <c r="B13" s="9" t="s">
        <v>11</v>
      </c>
    </row>
    <row r="14" customFormat="false" ht="15" hidden="false" customHeight="false" outlineLevel="0" collapsed="false">
      <c r="A14" s="8" t="s">
        <v>12</v>
      </c>
      <c r="B14" s="9" t="s">
        <v>13</v>
      </c>
    </row>
    <row r="15" customFormat="false" ht="26.85" hidden="false" customHeight="false" outlineLevel="0" collapsed="false">
      <c r="A15" s="8" t="s">
        <v>14</v>
      </c>
      <c r="B15" s="9" t="s">
        <v>15</v>
      </c>
    </row>
    <row r="16" customFormat="false" ht="26.85" hidden="false" customHeight="false" outlineLevel="0" collapsed="false">
      <c r="A16" s="8" t="s">
        <v>16</v>
      </c>
      <c r="B16" s="9" t="s">
        <v>17</v>
      </c>
    </row>
    <row r="17" customFormat="false" ht="26.85" hidden="false" customHeight="false" outlineLevel="0" collapsed="false">
      <c r="A17" s="8" t="s">
        <v>18</v>
      </c>
      <c r="B17" s="9" t="s">
        <v>19</v>
      </c>
    </row>
    <row r="20" customFormat="false" ht="15" hidden="false" customHeight="true" outlineLevel="0" collapsed="false">
      <c r="A20" s="10" t="s">
        <v>20</v>
      </c>
      <c r="B20" s="10"/>
      <c r="C20" s="10"/>
      <c r="D20" s="10"/>
      <c r="E20" s="10"/>
      <c r="F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</row>
  </sheetData>
  <mergeCells count="2">
    <mergeCell ref="A3:F5"/>
    <mergeCell ref="A20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8.55" hidden="false" customHeight="false" outlineLevel="0" collapsed="false">
      <c r="A1" s="1" t="s">
        <v>10</v>
      </c>
    </row>
    <row r="2" customFormat="false" ht="15" hidden="false" customHeight="false" outlineLevel="0" collapsed="false">
      <c r="A2" s="11" t="s">
        <v>21</v>
      </c>
    </row>
    <row r="3" customFormat="false" ht="26.85" hidden="false" customHeight="false" outlineLevel="0" collapsed="false">
      <c r="A3" s="12" t="s">
        <v>22</v>
      </c>
      <c r="B3" s="12" t="s">
        <v>23</v>
      </c>
      <c r="C3" s="12" t="s">
        <v>24</v>
      </c>
      <c r="D3" s="12" t="s">
        <v>25</v>
      </c>
    </row>
    <row r="4" customFormat="false" ht="15" hidden="false" customHeight="false" outlineLevel="0" collapsed="false">
      <c r="A4" s="13" t="s">
        <v>26</v>
      </c>
      <c r="B4" s="13" t="n">
        <v>1</v>
      </c>
      <c r="C4" s="14" t="n">
        <v>2.5</v>
      </c>
      <c r="D4" s="13" t="s">
        <v>27</v>
      </c>
    </row>
    <row r="5" customFormat="false" ht="15" hidden="false" customHeight="false" outlineLevel="0" collapsed="false">
      <c r="A5" s="13" t="s">
        <v>28</v>
      </c>
      <c r="B5" s="13" t="n">
        <v>1</v>
      </c>
      <c r="C5" s="14" t="n">
        <v>3.5</v>
      </c>
      <c r="D5" s="13" t="s">
        <v>29</v>
      </c>
    </row>
    <row r="6" customFormat="false" ht="15" hidden="false" customHeight="false" outlineLevel="0" collapsed="false">
      <c r="A6" s="13" t="s">
        <v>30</v>
      </c>
      <c r="B6" s="13" t="n">
        <v>1</v>
      </c>
      <c r="C6" s="14" t="n">
        <v>1.5</v>
      </c>
      <c r="D6" s="13" t="s">
        <v>31</v>
      </c>
    </row>
    <row r="7" customFormat="false" ht="15" hidden="false" customHeight="false" outlineLevel="0" collapsed="false">
      <c r="A7" s="13" t="s">
        <v>32</v>
      </c>
      <c r="B7" s="13" t="n">
        <v>1</v>
      </c>
      <c r="C7" s="14" t="n">
        <v>3</v>
      </c>
      <c r="D7" s="13" t="s">
        <v>33</v>
      </c>
    </row>
    <row r="8" customFormat="false" ht="15" hidden="false" customHeight="false" outlineLevel="0" collapsed="false">
      <c r="A8" s="13" t="s">
        <v>34</v>
      </c>
      <c r="B8" s="13" t="n">
        <v>2</v>
      </c>
      <c r="C8" s="14" t="n">
        <v>8</v>
      </c>
      <c r="D8" s="13" t="s">
        <v>35</v>
      </c>
    </row>
    <row r="9" customFormat="false" ht="15" hidden="false" customHeight="false" outlineLevel="0" collapsed="false">
      <c r="A9" s="13" t="s">
        <v>36</v>
      </c>
      <c r="B9" s="13" t="n">
        <v>2</v>
      </c>
      <c r="C9" s="14" t="n">
        <v>10</v>
      </c>
      <c r="D9" s="13" t="s">
        <v>37</v>
      </c>
    </row>
    <row r="10" customFormat="false" ht="15" hidden="false" customHeight="false" outlineLevel="0" collapsed="false">
      <c r="A10" s="13" t="s">
        <v>38</v>
      </c>
      <c r="B10" s="13" t="n">
        <v>2</v>
      </c>
      <c r="C10" s="14" t="n">
        <v>6</v>
      </c>
      <c r="D10" s="13" t="s">
        <v>39</v>
      </c>
    </row>
    <row r="12" customFormat="false" ht="15" hidden="false" customHeight="false" outlineLevel="0" collapsed="false">
      <c r="A12" s="3" t="s">
        <v>40</v>
      </c>
    </row>
    <row r="13" customFormat="false" ht="15" hidden="false" customHeight="false" outlineLevel="0" collapsed="false">
      <c r="A13" s="12" t="s">
        <v>41</v>
      </c>
      <c r="B13" s="12" t="s">
        <v>42</v>
      </c>
      <c r="C13" s="12" t="s">
        <v>43</v>
      </c>
      <c r="D13" s="12" t="s">
        <v>44</v>
      </c>
      <c r="E13" s="12" t="s">
        <v>45</v>
      </c>
    </row>
    <row r="14" customFormat="false" ht="15" hidden="false" customHeight="false" outlineLevel="0" collapsed="false">
      <c r="A14" s="13" t="s">
        <v>46</v>
      </c>
      <c r="B14" s="15" t="n">
        <v>20</v>
      </c>
      <c r="C14" s="14" t="n">
        <v>5</v>
      </c>
      <c r="D14" s="14" t="n">
        <v>8</v>
      </c>
      <c r="E14" s="14" t="n">
        <v>100</v>
      </c>
      <c r="G14" s="11" t="s">
        <v>47</v>
      </c>
    </row>
    <row r="15" customFormat="false" ht="15" hidden="false" customHeight="false" outlineLevel="0" collapsed="false">
      <c r="A15" s="13" t="s">
        <v>48</v>
      </c>
      <c r="B15" s="15" t="n">
        <v>8</v>
      </c>
      <c r="C15" s="14" t="n">
        <v>10</v>
      </c>
      <c r="D15" s="14" t="n">
        <v>12</v>
      </c>
      <c r="E15" s="14" t="n">
        <v>200</v>
      </c>
    </row>
    <row r="16" customFormat="false" ht="15" hidden="false" customHeight="false" outlineLevel="0" collapsed="false">
      <c r="A16" s="13" t="s">
        <v>49</v>
      </c>
      <c r="B16" s="15" t="n">
        <v>0</v>
      </c>
      <c r="C16" s="14" t="n">
        <v>8</v>
      </c>
      <c r="D16" s="14" t="n">
        <v>6</v>
      </c>
      <c r="E16" s="14" t="n">
        <v>150</v>
      </c>
    </row>
    <row r="18" customFormat="false" ht="15" hidden="false" customHeight="false" outlineLevel="0" collapsed="false">
      <c r="A18" s="3" t="s">
        <v>50</v>
      </c>
    </row>
    <row r="19" customFormat="false" ht="15" hidden="false" customHeight="false" outlineLevel="0" collapsed="false">
      <c r="A19" s="12" t="s">
        <v>51</v>
      </c>
      <c r="B19" s="12" t="s">
        <v>52</v>
      </c>
      <c r="C19" s="12" t="s">
        <v>53</v>
      </c>
    </row>
    <row r="20" customFormat="false" ht="15" hidden="false" customHeight="false" outlineLevel="0" collapsed="false">
      <c r="A20" s="13" t="s">
        <v>54</v>
      </c>
      <c r="B20" s="15" t="n">
        <v>1</v>
      </c>
      <c r="C20" s="11" t="s">
        <v>55</v>
      </c>
    </row>
    <row r="21" customFormat="false" ht="15" hidden="false" customHeight="false" outlineLevel="0" collapsed="false">
      <c r="A21" s="13" t="s">
        <v>56</v>
      </c>
      <c r="B21" s="15" t="n">
        <v>0.2</v>
      </c>
      <c r="C21" s="11" t="s">
        <v>57</v>
      </c>
    </row>
    <row r="22" customFormat="false" ht="15" hidden="false" customHeight="false" outlineLevel="0" collapsed="false">
      <c r="A22" s="13" t="s">
        <v>58</v>
      </c>
      <c r="B22" s="15" t="n">
        <v>0.25</v>
      </c>
      <c r="C22" s="11" t="s">
        <v>59</v>
      </c>
    </row>
    <row r="23" customFormat="false" ht="15" hidden="false" customHeight="false" outlineLevel="0" collapsed="false">
      <c r="A23" s="13" t="s">
        <v>60</v>
      </c>
      <c r="B23" s="15" t="n">
        <v>4</v>
      </c>
      <c r="C23" s="11" t="s">
        <v>61</v>
      </c>
    </row>
    <row r="24" customFormat="false" ht="15" hidden="false" customHeight="false" outlineLevel="0" collapsed="false">
      <c r="A24" s="13" t="s">
        <v>62</v>
      </c>
      <c r="B24" s="15" t="n">
        <v>0.5</v>
      </c>
      <c r="C24" s="1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18.55" hidden="false" customHeight="false" outlineLevel="0" collapsed="false">
      <c r="A1" s="1" t="s">
        <v>64</v>
      </c>
    </row>
    <row r="2" customFormat="false" ht="15" hidden="false" customHeight="false" outlineLevel="0" collapsed="false">
      <c r="A2" s="11" t="s">
        <v>65</v>
      </c>
    </row>
    <row r="4" customFormat="false" ht="26.85" hidden="false" customHeight="false" outlineLevel="0" collapsed="false">
      <c r="A4" s="12" t="s">
        <v>66</v>
      </c>
      <c r="B4" s="12" t="s">
        <v>67</v>
      </c>
      <c r="C4" s="12" t="s">
        <v>68</v>
      </c>
      <c r="D4" s="12" t="s">
        <v>69</v>
      </c>
      <c r="E4" s="12" t="s">
        <v>70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75</v>
      </c>
      <c r="K4" s="12" t="s">
        <v>76</v>
      </c>
    </row>
    <row r="5" customFormat="false" ht="15" hidden="false" customHeight="false" outlineLevel="0" collapsed="false">
      <c r="A5" s="13" t="s">
        <v>77</v>
      </c>
      <c r="B5" s="13" t="s">
        <v>26</v>
      </c>
      <c r="C5" s="15" t="n">
        <v>2</v>
      </c>
      <c r="D5" s="13" t="s">
        <v>34</v>
      </c>
      <c r="E5" s="15" t="n">
        <v>1</v>
      </c>
      <c r="F5" s="16" t="n">
        <f aca="false">VLOOKUP(B5,Constants!$A$4:$C$10,3,FALSE())</f>
        <v>2.5</v>
      </c>
      <c r="G5" s="16" t="n">
        <f aca="false">VLOOKUP(D5,Constants!$A$4:$C$10,3,FALSE())</f>
        <v>8</v>
      </c>
      <c r="H5" s="17" t="n">
        <f aca="false">C5*F5</f>
        <v>5</v>
      </c>
      <c r="I5" s="17" t="n">
        <f aca="false">E5*G5</f>
        <v>8</v>
      </c>
      <c r="J5" s="17" t="n">
        <f aca="false">I5-H5</f>
        <v>3</v>
      </c>
      <c r="K5" s="18" t="n">
        <f aca="false">IF(H5=0,"-",I5/H5)</f>
        <v>1.6</v>
      </c>
    </row>
    <row r="6" customFormat="false" ht="15" hidden="false" customHeight="false" outlineLevel="0" collapsed="false">
      <c r="A6" s="13" t="s">
        <v>78</v>
      </c>
      <c r="B6" s="13" t="s">
        <v>28</v>
      </c>
      <c r="C6" s="15" t="n">
        <v>2</v>
      </c>
      <c r="D6" s="13" t="s">
        <v>36</v>
      </c>
      <c r="E6" s="15" t="n">
        <v>1</v>
      </c>
      <c r="F6" s="16" t="n">
        <f aca="false">VLOOKUP(B6,Constants!$A$4:$C$10,3,FALSE())</f>
        <v>3.5</v>
      </c>
      <c r="G6" s="16" t="n">
        <f aca="false">VLOOKUP(D6,Constants!$A$4:$C$10,3,FALSE())</f>
        <v>10</v>
      </c>
      <c r="H6" s="17" t="n">
        <f aca="false">C6*F6</f>
        <v>7</v>
      </c>
      <c r="I6" s="17" t="n">
        <f aca="false">E6*G6</f>
        <v>10</v>
      </c>
      <c r="J6" s="17" t="n">
        <f aca="false">I6-H6</f>
        <v>3</v>
      </c>
      <c r="K6" s="18" t="n">
        <f aca="false">IF(H6=0,"-",I6/H6)</f>
        <v>1.42857142857143</v>
      </c>
    </row>
    <row r="7" customFormat="false" ht="15" hidden="false" customHeight="false" outlineLevel="0" collapsed="false">
      <c r="A7" s="13" t="s">
        <v>79</v>
      </c>
      <c r="B7" s="13" t="s">
        <v>32</v>
      </c>
      <c r="C7" s="15" t="n">
        <v>2</v>
      </c>
      <c r="D7" s="13" t="s">
        <v>38</v>
      </c>
      <c r="E7" s="15" t="n">
        <v>1</v>
      </c>
      <c r="F7" s="16" t="n">
        <f aca="false">VLOOKUP(B7,Constants!$A$4:$C$10,3,FALSE())</f>
        <v>3</v>
      </c>
      <c r="G7" s="16" t="n">
        <f aca="false">VLOOKUP(D7,Constants!$A$4:$C$10,3,FALSE())</f>
        <v>6</v>
      </c>
      <c r="H7" s="17" t="n">
        <f aca="false">C7*F7</f>
        <v>6</v>
      </c>
      <c r="I7" s="17" t="n">
        <f aca="false">E7*G7</f>
        <v>6</v>
      </c>
      <c r="J7" s="17" t="n">
        <f aca="false">I7-H7</f>
        <v>0</v>
      </c>
      <c r="K7" s="18" t="n">
        <f aca="false">IF(H7=0,"-",I7/H7)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18.55" hidden="false" customHeight="false" outlineLevel="0" collapsed="false">
      <c r="A1" s="1" t="s">
        <v>80</v>
      </c>
    </row>
    <row r="2" customFormat="false" ht="15" hidden="false" customHeight="false" outlineLevel="0" collapsed="false">
      <c r="A2" s="11" t="s">
        <v>81</v>
      </c>
    </row>
    <row r="4" customFormat="false" ht="26.85" hidden="false" customHeight="false" outlineLevel="0" collapsed="false">
      <c r="A4" s="12" t="s">
        <v>22</v>
      </c>
      <c r="B4" s="12" t="s">
        <v>82</v>
      </c>
      <c r="C4" s="12" t="s">
        <v>83</v>
      </c>
      <c r="D4" s="12" t="s">
        <v>84</v>
      </c>
      <c r="E4" s="12" t="s">
        <v>85</v>
      </c>
      <c r="F4" s="12" t="s">
        <v>86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</row>
    <row r="5" customFormat="false" ht="15" hidden="false" customHeight="false" outlineLevel="0" collapsed="false">
      <c r="A5" s="13" t="s">
        <v>26</v>
      </c>
      <c r="B5" s="15" t="n">
        <v>1</v>
      </c>
      <c r="C5" s="15" t="n">
        <v>1</v>
      </c>
      <c r="D5" s="19" t="n">
        <v>0.1</v>
      </c>
      <c r="E5" s="16" t="n">
        <f aca="false">VLOOKUP(A5,Constants!$A$4:$C$10,3,FALSE())</f>
        <v>2.5</v>
      </c>
      <c r="F5" s="20" t="n">
        <f aca="false">Constants!$B$14*B5*C5*(1-D5)</f>
        <v>18</v>
      </c>
      <c r="G5" s="17" t="n">
        <f aca="false">F5*E5</f>
        <v>45</v>
      </c>
      <c r="H5" s="17" t="n">
        <f aca="false">C5*Constants!$D$14</f>
        <v>8</v>
      </c>
      <c r="I5" s="17" t="n">
        <f aca="false">Constants!$C$14</f>
        <v>5</v>
      </c>
      <c r="J5" s="17" t="n">
        <f aca="false">G5-H5-I5</f>
        <v>32</v>
      </c>
      <c r="K5" s="21" t="n">
        <f aca="false">IF(J5&lt;=0,"never",Constants!$E$14/J5)</f>
        <v>3.125</v>
      </c>
    </row>
    <row r="6" customFormat="false" ht="15" hidden="false" customHeight="false" outlineLevel="0" collapsed="false">
      <c r="A6" s="13" t="s">
        <v>28</v>
      </c>
      <c r="B6" s="15" t="n">
        <v>1</v>
      </c>
      <c r="C6" s="15" t="n">
        <v>1</v>
      </c>
      <c r="D6" s="19" t="n">
        <v>0.15</v>
      </c>
      <c r="E6" s="16" t="n">
        <f aca="false">VLOOKUP(A6,Constants!$A$4:$C$10,3,FALSE())</f>
        <v>3.5</v>
      </c>
      <c r="F6" s="20" t="n">
        <f aca="false">Constants!$B$14*B6*C6*(1-D6)</f>
        <v>17</v>
      </c>
      <c r="G6" s="17" t="n">
        <f aca="false">F6*E6</f>
        <v>59.5</v>
      </c>
      <c r="H6" s="17" t="n">
        <f aca="false">C6*Constants!$D$14</f>
        <v>8</v>
      </c>
      <c r="I6" s="17" t="n">
        <f aca="false">Constants!$C$14</f>
        <v>5</v>
      </c>
      <c r="J6" s="17" t="n">
        <f aca="false">G6-H6-I6</f>
        <v>46.5</v>
      </c>
      <c r="K6" s="21" t="n">
        <f aca="false">IF(J6&lt;=0,"never",Constants!$E$14/J6)</f>
        <v>2.1505376344086</v>
      </c>
    </row>
    <row r="7" customFormat="false" ht="15" hidden="false" customHeight="false" outlineLevel="0" collapsed="false">
      <c r="A7" s="13" t="s">
        <v>30</v>
      </c>
      <c r="B7" s="15" t="n">
        <v>1</v>
      </c>
      <c r="C7" s="15" t="n">
        <v>1</v>
      </c>
      <c r="D7" s="19" t="n">
        <v>0.1</v>
      </c>
      <c r="E7" s="16" t="n">
        <f aca="false">VLOOKUP(A7,Constants!$A$4:$C$10,3,FALSE())</f>
        <v>1.5</v>
      </c>
      <c r="F7" s="20" t="n">
        <f aca="false">Constants!$B$14*B7*C7*(1-D7)</f>
        <v>18</v>
      </c>
      <c r="G7" s="17" t="n">
        <f aca="false">F7*E7</f>
        <v>27</v>
      </c>
      <c r="H7" s="17" t="n">
        <f aca="false">C7*Constants!$D$14</f>
        <v>8</v>
      </c>
      <c r="I7" s="17" t="n">
        <f aca="false">Constants!$C$14</f>
        <v>5</v>
      </c>
      <c r="J7" s="17" t="n">
        <f aca="false">G7-H7-I7</f>
        <v>14</v>
      </c>
      <c r="K7" s="21" t="n">
        <f aca="false">IF(J7&lt;=0,"never",Constants!$E$14/J7)</f>
        <v>7.14285714285714</v>
      </c>
    </row>
    <row r="8" customFormat="false" ht="15" hidden="false" customHeight="false" outlineLevel="0" collapsed="false">
      <c r="A8" s="13" t="s">
        <v>32</v>
      </c>
      <c r="B8" s="15" t="n">
        <v>1</v>
      </c>
      <c r="C8" s="15" t="n">
        <v>1</v>
      </c>
      <c r="D8" s="19" t="n">
        <v>0.05</v>
      </c>
      <c r="E8" s="16" t="n">
        <f aca="false">VLOOKUP(A8,Constants!$A$4:$C$10,3,FALSE())</f>
        <v>3</v>
      </c>
      <c r="F8" s="20" t="n">
        <f aca="false">Constants!$B$14*B8*C8*(1-D8)</f>
        <v>19</v>
      </c>
      <c r="G8" s="17" t="n">
        <f aca="false">F8*E8</f>
        <v>57</v>
      </c>
      <c r="H8" s="17" t="n">
        <f aca="false">C8*Constants!$D$14</f>
        <v>8</v>
      </c>
      <c r="I8" s="17" t="n">
        <f aca="false">Constants!$C$14</f>
        <v>5</v>
      </c>
      <c r="J8" s="17" t="n">
        <f aca="false">G8-H8-I8</f>
        <v>44</v>
      </c>
      <c r="K8" s="21" t="n">
        <f aca="false">IF(J8&lt;=0,"never",Constants!$E$14/J8)</f>
        <v>2.27272727272727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</cols>
  <sheetData>
    <row r="1" customFormat="false" ht="18.55" hidden="false" customHeight="false" outlineLevel="0" collapsed="false">
      <c r="A1" s="1" t="s">
        <v>92</v>
      </c>
    </row>
    <row r="2" customFormat="false" ht="15" hidden="false" customHeight="false" outlineLevel="0" collapsed="false">
      <c r="A2" s="11" t="s">
        <v>93</v>
      </c>
    </row>
    <row r="4" customFormat="false" ht="26.85" hidden="false" customHeight="false" outlineLevel="0" collapsed="false">
      <c r="A4" s="12" t="s">
        <v>94</v>
      </c>
      <c r="B4" s="12" t="s">
        <v>83</v>
      </c>
      <c r="C4" s="12" t="s">
        <v>95</v>
      </c>
      <c r="D4" s="12" t="s">
        <v>67</v>
      </c>
      <c r="E4" s="12" t="s">
        <v>96</v>
      </c>
      <c r="F4" s="12" t="s">
        <v>97</v>
      </c>
      <c r="G4" s="12" t="s">
        <v>98</v>
      </c>
      <c r="H4" s="12" t="s">
        <v>87</v>
      </c>
      <c r="I4" s="12" t="s">
        <v>88</v>
      </c>
      <c r="J4" s="12" t="s">
        <v>89</v>
      </c>
      <c r="K4" s="12" t="s">
        <v>90</v>
      </c>
      <c r="L4" s="12" t="s">
        <v>91</v>
      </c>
    </row>
    <row r="5" customFormat="false" ht="15" hidden="false" customHeight="false" outlineLevel="0" collapsed="false">
      <c r="A5" s="22" t="str">
        <f aca="false">Recipes!A5</f>
        <v>steel (0)</v>
      </c>
      <c r="B5" s="15" t="n">
        <v>1</v>
      </c>
      <c r="C5" s="20" t="n">
        <f aca="false">Constants!$B$15*B5</f>
        <v>8</v>
      </c>
      <c r="D5" s="22" t="str">
        <f aca="false">Recipes!B5</f>
        <v>iron_ore</v>
      </c>
      <c r="E5" s="16" t="n">
        <f aca="false">Recipes!F5</f>
        <v>2.5</v>
      </c>
      <c r="F5" s="16" t="n">
        <f aca="false">Recipes!G5</f>
        <v>8</v>
      </c>
      <c r="G5" s="17" t="n">
        <f aca="false">C5*Recipes!C5*E5</f>
        <v>40</v>
      </c>
      <c r="H5" s="17" t="n">
        <f aca="false">C5*Recipes!E5*F5</f>
        <v>64</v>
      </c>
      <c r="I5" s="17" t="n">
        <f aca="false">B5*Constants!$D$15</f>
        <v>12</v>
      </c>
      <c r="J5" s="17" t="n">
        <f aca="false">Constants!$C$15</f>
        <v>10</v>
      </c>
      <c r="K5" s="17" t="n">
        <f aca="false">H5-G5-I5-J5</f>
        <v>2</v>
      </c>
      <c r="L5" s="21" t="n">
        <f aca="false">IF(K5&lt;=0,"never",Constants!$E$15/K5)</f>
        <v>100</v>
      </c>
    </row>
    <row r="6" customFormat="false" ht="15" hidden="false" customHeight="false" outlineLevel="0" collapsed="false">
      <c r="A6" s="22" t="str">
        <f aca="false">Recipes!A6</f>
        <v>refined_fuel (1)</v>
      </c>
      <c r="B6" s="15" t="n">
        <v>1</v>
      </c>
      <c r="C6" s="20" t="n">
        <f aca="false">Constants!$B$15*B6</f>
        <v>8</v>
      </c>
      <c r="D6" s="22" t="str">
        <f aca="false">Recipes!B6</f>
        <v>petroleum</v>
      </c>
      <c r="E6" s="16" t="n">
        <f aca="false">Recipes!F6</f>
        <v>3.5</v>
      </c>
      <c r="F6" s="16" t="n">
        <f aca="false">Recipes!G6</f>
        <v>10</v>
      </c>
      <c r="G6" s="17" t="n">
        <f aca="false">C6*Recipes!C6*E6</f>
        <v>56</v>
      </c>
      <c r="H6" s="17" t="n">
        <f aca="false">C6*Recipes!E6*F6</f>
        <v>80</v>
      </c>
      <c r="I6" s="17" t="n">
        <f aca="false">B6*Constants!$D$15</f>
        <v>12</v>
      </c>
      <c r="J6" s="17" t="n">
        <f aca="false">Constants!$C$15</f>
        <v>10</v>
      </c>
      <c r="K6" s="17" t="n">
        <f aca="false">H6-G6-I6-J6</f>
        <v>2</v>
      </c>
      <c r="L6" s="21" t="n">
        <f aca="false">IF(K6&lt;=0,"never",Constants!$E$15/K6)</f>
        <v>100</v>
      </c>
    </row>
    <row r="7" customFormat="false" ht="15" hidden="false" customHeight="false" outlineLevel="0" collapsed="false">
      <c r="A7" s="22" t="str">
        <f aca="false">Recipes!A7</f>
        <v>food_rations (2)</v>
      </c>
      <c r="B7" s="15" t="n">
        <v>1</v>
      </c>
      <c r="C7" s="20" t="n">
        <f aca="false">Constants!$B$15*B7</f>
        <v>8</v>
      </c>
      <c r="D7" s="22" t="str">
        <f aca="false">Recipes!B7</f>
        <v>agricultural_produce</v>
      </c>
      <c r="E7" s="16" t="n">
        <f aca="false">Recipes!F7</f>
        <v>3</v>
      </c>
      <c r="F7" s="16" t="n">
        <f aca="false">Recipes!G7</f>
        <v>6</v>
      </c>
      <c r="G7" s="17" t="n">
        <f aca="false">C7*Recipes!C7*E7</f>
        <v>48</v>
      </c>
      <c r="H7" s="17" t="n">
        <f aca="false">C7*Recipes!E7*F7</f>
        <v>48</v>
      </c>
      <c r="I7" s="17" t="n">
        <f aca="false">B7*Constants!$D$15</f>
        <v>12</v>
      </c>
      <c r="J7" s="17" t="n">
        <f aca="false">Constants!$C$15</f>
        <v>10</v>
      </c>
      <c r="K7" s="17" t="n">
        <f aca="false">H7-G7-I7-J7</f>
        <v>-22</v>
      </c>
      <c r="L7" s="21" t="str">
        <f aca="false">IF(K7&lt;=0,"never",Constants!$E$15/K7)</f>
        <v>never</v>
      </c>
    </row>
    <row r="9" customFormat="false" ht="15" hidden="false" customHeight="true" outlineLevel="0" collapsed="false">
      <c r="A9" s="10" t="s">
        <v>99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</sheetData>
  <mergeCells count="1">
    <mergeCell ref="A9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9"/>
  </cols>
  <sheetData>
    <row r="1" customFormat="false" ht="18.55" hidden="false" customHeight="false" outlineLevel="0" collapsed="false">
      <c r="A1" s="1" t="s">
        <v>100</v>
      </c>
    </row>
    <row r="2" customFormat="false" ht="15" hidden="false" customHeight="true" outlineLevel="0" collapsed="false">
      <c r="A2" s="10" t="s">
        <v>101</v>
      </c>
      <c r="B2" s="10"/>
      <c r="C2" s="10"/>
      <c r="D2" s="10"/>
      <c r="E2" s="10"/>
      <c r="F2" s="10"/>
      <c r="G2" s="10"/>
      <c r="H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</row>
    <row r="5" customFormat="false" ht="26.85" hidden="false" customHeight="false" outlineLevel="0" collapsed="false">
      <c r="A5" s="12" t="s">
        <v>22</v>
      </c>
      <c r="B5" s="12" t="s">
        <v>102</v>
      </c>
      <c r="C5" s="12" t="s">
        <v>103</v>
      </c>
      <c r="D5" s="12" t="s">
        <v>104</v>
      </c>
      <c r="E5" s="12" t="s">
        <v>105</v>
      </c>
      <c r="F5" s="12" t="s">
        <v>106</v>
      </c>
      <c r="G5" s="12" t="s">
        <v>107</v>
      </c>
      <c r="H5" s="12" t="s">
        <v>108</v>
      </c>
      <c r="I5" s="12" t="s">
        <v>109</v>
      </c>
      <c r="J5" s="12" t="s">
        <v>110</v>
      </c>
    </row>
    <row r="6" customFormat="false" ht="15" hidden="false" customHeight="false" outlineLevel="0" collapsed="false">
      <c r="A6" s="13" t="s">
        <v>26</v>
      </c>
      <c r="B6" s="16" t="n">
        <f aca="false">VLOOKUP(A6,Constants!$A$4:$C$10,3,FALSE())</f>
        <v>2.5</v>
      </c>
      <c r="C6" s="15" t="n">
        <v>100</v>
      </c>
      <c r="D6" s="15" t="n">
        <v>100</v>
      </c>
      <c r="E6" s="23" t="n">
        <f aca="false">IF(C6=0,"inf",D6/C6)</f>
        <v>1</v>
      </c>
      <c r="F6" s="17" t="n">
        <f aca="false">IF(C6=0,IF(D6&gt;0,B6*Constants!$B$23,B6),B6*SQRT(D6/C6))</f>
        <v>2.5</v>
      </c>
      <c r="G6" s="17" t="n">
        <f aca="false">B6*Constants!$B$22</f>
        <v>0.625</v>
      </c>
      <c r="H6" s="17" t="n">
        <f aca="false">B6*Constants!$B$23</f>
        <v>10</v>
      </c>
      <c r="I6" s="17" t="n">
        <f aca="false">MIN(MAX(F6,G6),H6)</f>
        <v>2.5</v>
      </c>
      <c r="J6" s="18" t="n">
        <f aca="false">I6/B6</f>
        <v>1</v>
      </c>
    </row>
    <row r="7" customFormat="false" ht="15" hidden="false" customHeight="false" outlineLevel="0" collapsed="false">
      <c r="A7" s="13" t="s">
        <v>28</v>
      </c>
      <c r="B7" s="16" t="n">
        <f aca="false">VLOOKUP(A7,Constants!$A$4:$C$10,3,FALSE())</f>
        <v>3.5</v>
      </c>
      <c r="C7" s="15" t="n">
        <v>80</v>
      </c>
      <c r="D7" s="15" t="n">
        <v>120</v>
      </c>
      <c r="E7" s="23" t="n">
        <f aca="false">IF(C7=0,"inf",D7/C7)</f>
        <v>1.5</v>
      </c>
      <c r="F7" s="17" t="n">
        <f aca="false">IF(C7=0,IF(D7&gt;0,B7*Constants!$B$23,B7),B7*SQRT(D7/C7))</f>
        <v>4.28660704987056</v>
      </c>
      <c r="G7" s="17" t="n">
        <f aca="false">B7*Constants!$B$22</f>
        <v>0.875</v>
      </c>
      <c r="H7" s="17" t="n">
        <f aca="false">B7*Constants!$B$23</f>
        <v>14</v>
      </c>
      <c r="I7" s="17" t="n">
        <f aca="false">MIN(MAX(F7,G7),H7)</f>
        <v>4.28660704987056</v>
      </c>
      <c r="J7" s="18" t="n">
        <f aca="false">I7/B7</f>
        <v>1.22474487139159</v>
      </c>
    </row>
    <row r="8" customFormat="false" ht="15" hidden="false" customHeight="false" outlineLevel="0" collapsed="false">
      <c r="A8" s="13" t="s">
        <v>30</v>
      </c>
      <c r="B8" s="16" t="n">
        <f aca="false">VLOOKUP(A8,Constants!$A$4:$C$10,3,FALSE())</f>
        <v>1.5</v>
      </c>
      <c r="C8" s="15" t="n">
        <v>150</v>
      </c>
      <c r="D8" s="15" t="n">
        <v>50</v>
      </c>
      <c r="E8" s="23" t="n">
        <f aca="false">IF(C8=0,"inf",D8/C8)</f>
        <v>0.333333333333333</v>
      </c>
      <c r="F8" s="17" t="n">
        <f aca="false">IF(C8=0,IF(D8&gt;0,B8*Constants!$B$23,B8),B8*SQRT(D8/C8))</f>
        <v>0.866025403784439</v>
      </c>
      <c r="G8" s="17" t="n">
        <f aca="false">B8*Constants!$B$22</f>
        <v>0.375</v>
      </c>
      <c r="H8" s="17" t="n">
        <f aca="false">B8*Constants!$B$23</f>
        <v>6</v>
      </c>
      <c r="I8" s="17" t="n">
        <f aca="false">MIN(MAX(F8,G8),H8)</f>
        <v>0.866025403784439</v>
      </c>
      <c r="J8" s="18" t="n">
        <f aca="false">I8/B8</f>
        <v>0.577350269189626</v>
      </c>
    </row>
    <row r="9" customFormat="false" ht="15" hidden="false" customHeight="false" outlineLevel="0" collapsed="false">
      <c r="A9" s="13" t="s">
        <v>32</v>
      </c>
      <c r="B9" s="16" t="n">
        <f aca="false">VLOOKUP(A9,Constants!$A$4:$C$10,3,FALSE())</f>
        <v>3</v>
      </c>
      <c r="C9" s="15" t="n">
        <v>100</v>
      </c>
      <c r="D9" s="15" t="n">
        <v>100</v>
      </c>
      <c r="E9" s="23" t="n">
        <f aca="false">IF(C9=0,"inf",D9/C9)</f>
        <v>1</v>
      </c>
      <c r="F9" s="17" t="n">
        <f aca="false">IF(C9=0,IF(D9&gt;0,B9*Constants!$B$23,B9),B9*SQRT(D9/C9))</f>
        <v>3</v>
      </c>
      <c r="G9" s="17" t="n">
        <f aca="false">B9*Constants!$B$22</f>
        <v>0.75</v>
      </c>
      <c r="H9" s="17" t="n">
        <f aca="false">B9*Constants!$B$23</f>
        <v>12</v>
      </c>
      <c r="I9" s="17" t="n">
        <f aca="false">MIN(MAX(F9,G9),H9)</f>
        <v>3</v>
      </c>
      <c r="J9" s="18" t="n">
        <f aca="false">I9/B9</f>
        <v>1</v>
      </c>
    </row>
    <row r="10" customFormat="false" ht="15" hidden="false" customHeight="false" outlineLevel="0" collapsed="false">
      <c r="A10" s="13" t="s">
        <v>34</v>
      </c>
      <c r="B10" s="16" t="n">
        <f aca="false">VLOOKUP(A10,Constants!$A$4:$C$10,3,FALSE())</f>
        <v>8</v>
      </c>
      <c r="C10" s="15" t="n">
        <v>60</v>
      </c>
      <c r="D10" s="15" t="n">
        <v>90</v>
      </c>
      <c r="E10" s="23" t="n">
        <f aca="false">IF(C10=0,"inf",D10/C10)</f>
        <v>1.5</v>
      </c>
      <c r="F10" s="17" t="n">
        <f aca="false">IF(C10=0,IF(D10&gt;0,B10*Constants!$B$23,B10),B10*SQRT(D10/C10))</f>
        <v>9.79795897113271</v>
      </c>
      <c r="G10" s="17" t="n">
        <f aca="false">B10*Constants!$B$22</f>
        <v>2</v>
      </c>
      <c r="H10" s="17" t="n">
        <f aca="false">B10*Constants!$B$23</f>
        <v>32</v>
      </c>
      <c r="I10" s="17" t="n">
        <f aca="false">MIN(MAX(F10,G10),H10)</f>
        <v>9.79795897113271</v>
      </c>
      <c r="J10" s="18" t="n">
        <f aca="false">I10/B10</f>
        <v>1.22474487139159</v>
      </c>
    </row>
    <row r="11" customFormat="false" ht="15" hidden="false" customHeight="false" outlineLevel="0" collapsed="false">
      <c r="A11" s="13" t="s">
        <v>36</v>
      </c>
      <c r="B11" s="16" t="n">
        <f aca="false">VLOOKUP(A11,Constants!$A$4:$C$10,3,FALSE())</f>
        <v>10</v>
      </c>
      <c r="C11" s="15" t="n">
        <v>40</v>
      </c>
      <c r="D11" s="15" t="n">
        <v>80</v>
      </c>
      <c r="E11" s="23" t="n">
        <f aca="false">IF(C11=0,"inf",D11/C11)</f>
        <v>2</v>
      </c>
      <c r="F11" s="17" t="n">
        <f aca="false">IF(C11=0,IF(D11&gt;0,B11*Constants!$B$23,B11),B11*SQRT(D11/C11))</f>
        <v>14.142135623731</v>
      </c>
      <c r="G11" s="17" t="n">
        <f aca="false">B11*Constants!$B$22</f>
        <v>2.5</v>
      </c>
      <c r="H11" s="17" t="n">
        <f aca="false">B11*Constants!$B$23</f>
        <v>40</v>
      </c>
      <c r="I11" s="17" t="n">
        <f aca="false">MIN(MAX(F11,G11),H11)</f>
        <v>14.142135623731</v>
      </c>
      <c r="J11" s="18" t="n">
        <f aca="false">I11/B11</f>
        <v>1.4142135623731</v>
      </c>
    </row>
    <row r="12" customFormat="false" ht="15" hidden="false" customHeight="false" outlineLevel="0" collapsed="false">
      <c r="A12" s="13" t="s">
        <v>38</v>
      </c>
      <c r="B12" s="16" t="n">
        <f aca="false">VLOOKUP(A12,Constants!$A$4:$C$10,3,FALSE())</f>
        <v>6</v>
      </c>
      <c r="C12" s="15" t="n">
        <v>100</v>
      </c>
      <c r="D12" s="15" t="n">
        <v>40</v>
      </c>
      <c r="E12" s="23" t="n">
        <f aca="false">IF(C12=0,"inf",D12/C12)</f>
        <v>0.4</v>
      </c>
      <c r="F12" s="17" t="n">
        <f aca="false">IF(C12=0,IF(D12&gt;0,B12*Constants!$B$23,B12),B12*SQRT(D12/C12))</f>
        <v>3.79473319220206</v>
      </c>
      <c r="G12" s="17" t="n">
        <f aca="false">B12*Constants!$B$22</f>
        <v>1.5</v>
      </c>
      <c r="H12" s="17" t="n">
        <f aca="false">B12*Constants!$B$23</f>
        <v>24</v>
      </c>
      <c r="I12" s="17" t="n">
        <f aca="false">MIN(MAX(F12,G12),H12)</f>
        <v>3.79473319220206</v>
      </c>
      <c r="J12" s="18" t="n">
        <f aca="false">I12/B12</f>
        <v>0.632455532033676</v>
      </c>
    </row>
  </sheetData>
  <mergeCells count="1">
    <mergeCell ref="A2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2026-06-15T17:40:43Z</dcterms:created>
  <dc:creator>openpyxl</dc:creator>
  <dc:description/>
  <dc:language>en-US</dc:language>
  <cp:lastModifiedBy/>
  <dcterms:modified xsi:type="dcterms:W3CDTF">2026-06-15T17:40:43Z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